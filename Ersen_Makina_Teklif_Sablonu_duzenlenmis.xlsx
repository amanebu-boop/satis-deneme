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assav Makina\Desktop\erşen satış\"/>
    </mc:Choice>
  </mc:AlternateContent>
  <xr:revisionPtr revIDLastSave="0" documentId="8_{173044F8-67BA-4027-A511-27FE383279BD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Teklif" sheetId="1" r:id="rId1"/>
  </sheets>
  <definedNames>
    <definedName name="ara_toplam">Teklif!$I$43</definedName>
    <definedName name="BirimFiyat">Teklif!$K$28:$K$42</definedName>
    <definedName name="gecerlilik_tarihi">Teklif!$D$15</definedName>
    <definedName name="genel_toplam">Teklif!$I$45</definedName>
    <definedName name="GenelToplamYazi">Teklif!$I$46</definedName>
    <definedName name="kdv_toplam">Teklif!$I$44</definedName>
    <definedName name="Miktar">Teklif!$J$28:$J$42</definedName>
    <definedName name="Model">Teklif!$C$28:$C$42</definedName>
    <definedName name="musteri_adresi">Teklif!$J$7</definedName>
    <definedName name="musteri_ilgili_kisi">Teklif!$J$9</definedName>
    <definedName name="musteri_telefon">Teklif!$J$10</definedName>
    <definedName name="musteri_unvani">Teklif!$J$6</definedName>
    <definedName name="para_birimi">Teklif!$J$15</definedName>
    <definedName name="RevizyonNo">Teklif!$J$13</definedName>
    <definedName name="teklif_no">Teklif!$D$13</definedName>
    <definedName name="teklif_notlari">Teklif!$B$18</definedName>
    <definedName name="teklif_tarihi">Teklif!$D$14</definedName>
    <definedName name="Urunler">Teklif!$D$28:$I$42</definedName>
    <definedName name="UrunNo">Teklif!$B$28:$B$42</definedName>
    <definedName name="_xlnm.Print_Area" localSheetId="0">Teklif!$B$2:$L$88</definedName>
  </definedNames>
  <calcPr calcId="181029" iterateDelta="1E-4"/>
</workbook>
</file>

<file path=xl/calcChain.xml><?xml version="1.0" encoding="utf-8"?>
<calcChain xmlns="http://schemas.openxmlformats.org/spreadsheetml/2006/main">
  <c r="L28" i="1" l="1"/>
  <c r="J84" i="1"/>
  <c r="D85" i="1"/>
  <c r="D84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D51" i="1"/>
  <c r="E58" i="1"/>
  <c r="H58" i="1" s="1"/>
  <c r="F54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L27" i="1"/>
  <c r="I43" i="1" l="1"/>
  <c r="F56" i="1" l="1"/>
  <c r="F57" i="1"/>
  <c r="F55" i="1"/>
  <c r="I44" i="1"/>
  <c r="I45" i="1" s="1"/>
  <c r="F58" i="1" l="1"/>
</calcChain>
</file>

<file path=xl/sharedStrings.xml><?xml version="1.0" encoding="utf-8"?>
<sst xmlns="http://schemas.openxmlformats.org/spreadsheetml/2006/main" count="106" uniqueCount="97">
  <si>
    <t>FİYAT TEKLİFİ</t>
  </si>
  <si>
    <t>TEKLİF VEREN</t>
  </si>
  <si>
    <t>MÜŞTERİ</t>
  </si>
  <si>
    <t>Unvan</t>
  </si>
  <si>
    <t>Adres</t>
  </si>
  <si>
    <t>Vergi Dairesi / No</t>
  </si>
  <si>
    <t>MERSİS No</t>
  </si>
  <si>
    <t>İlgili Kişi</t>
  </si>
  <si>
    <t>Telefon / E-posta</t>
  </si>
  <si>
    <t>Yetkili Kişi</t>
  </si>
  <si>
    <t>Müşteri Referans No</t>
  </si>
  <si>
    <t>TEKLİF BİLGİLERİ</t>
  </si>
  <si>
    <t>Teklif No</t>
  </si>
  <si>
    <t>Revizyon No</t>
  </si>
  <si>
    <t>00</t>
  </si>
  <si>
    <t>Teklif Tarihi</t>
  </si>
  <si>
    <t>Geçerlilik Süresi (gün)</t>
  </si>
  <si>
    <t>Son Geçerlilik Tarihi</t>
  </si>
  <si>
    <t>Para Birimi</t>
  </si>
  <si>
    <t>EUR</t>
  </si>
  <si>
    <t>1. KONU VE ÖZET</t>
  </si>
  <si>
    <t>2. PROJE KAPSAMI</t>
  </si>
  <si>
    <t>Teslimatlar</t>
  </si>
  <si>
    <t>[Teslim edilecek makina ve dokümanlar]</t>
  </si>
  <si>
    <t>Kapsam Dışı</t>
  </si>
  <si>
    <t>[Teklif bedeline dahil olmayan işler]</t>
  </si>
  <si>
    <t>Varsayımlar ve Müşteri Yükümlülükleri</t>
  </si>
  <si>
    <t>[Fiyatın dayandığı koşullar]</t>
  </si>
  <si>
    <t>Değişiklik Yönetimi</t>
  </si>
  <si>
    <t>Kapsam değişiklikleri yazılı talep ile alınır; süre ve maliyet etkisi yazılı bildirilir ve müşterinin yazılı onayı olmadan uygulanmaz.</t>
  </si>
  <si>
    <t>3. FİYAT TABLOSU</t>
  </si>
  <si>
    <t>No</t>
  </si>
  <si>
    <t>Model</t>
  </si>
  <si>
    <t>Ürün / Hizmet Açıklaması</t>
  </si>
  <si>
    <t>Miktar</t>
  </si>
  <si>
    <t>TOPLAM</t>
  </si>
  <si>
    <t>Toplam KDV</t>
  </si>
  <si>
    <t>GENEL TOPLAM (KDV Dahil)</t>
  </si>
  <si>
    <t>Yazıyla</t>
  </si>
  <si>
    <t>[Genel toplam yazıyla, Avro]</t>
  </si>
  <si>
    <t>5. ZAMAN PLANI VE TESLİM</t>
  </si>
  <si>
    <t>Başlangıç</t>
  </si>
  <si>
    <t>Sipariş onayı ve avansın tahsilini takip eden ilk iş günü</t>
  </si>
  <si>
    <t>Teslim Süresi</t>
  </si>
  <si>
    <t>Teslim Yeri</t>
  </si>
  <si>
    <t>6. ÖDEME KOŞULLARI</t>
  </si>
  <si>
    <t>Ödeme Aşaması</t>
  </si>
  <si>
    <t>Oran</t>
  </si>
  <si>
    <t>Tetikleyici Olay</t>
  </si>
  <si>
    <t>Avans</t>
  </si>
  <si>
    <t>Ödeme Yöntemi</t>
  </si>
  <si>
    <t>Havale / EFT</t>
  </si>
  <si>
    <t>Banka / IBAN</t>
  </si>
  <si>
    <t>Gecikme ve Faiz</t>
  </si>
  <si>
    <t>Vadesinde ödenmeyen tutarlar için TTK m.1530 uyarınca ihtara gerek olmaksızın temerrüt oluşur; TCMB'nin ilan ettiği yıllık temerrüt faizi (2026: %43) ve asgari tahsil masrafı giderimi (2026: 2.020 TL) uygulanır.</t>
  </si>
  <si>
    <t>Leasing: Leasing ile alımlarda KDV %1 olarak uygulanabilir ve taksitli ödeme avantajından yararlanılabilir.</t>
  </si>
  <si>
    <t>7. GARANTİ VE KABUL</t>
  </si>
  <si>
    <t>Garanti</t>
  </si>
  <si>
    <t>Ürünler fatura tarihinden itibaren 2 (iki) yıl garanti altındadır.</t>
  </si>
  <si>
    <t>Kabul Prosedürü</t>
  </si>
  <si>
    <t>8. GENEL ŞARTLAR</t>
  </si>
  <si>
    <t>Fiyatlara KDV dahil değildir; KDV faturada ayrıca gösterilir.</t>
  </si>
  <si>
    <t>Bu teklif, Teklif Bilgileri bölümünde belirtilen son geçerlilik tarihine kadar geçerlidir (TBK m.3). Süre sonunda fiyatlar güncel maliyetlere göre yenilenir.</t>
  </si>
  <si>
    <t>Doğal afet, savaş, salgın, resmi makam kararları gibi mücbir sebep hallerinde teslim süreleri bu hallerin süresi kadar uzar.</t>
  </si>
  <si>
    <t>Teklif verenin toplam sorumluluğu teklif bedeliyle sınırlıdır; dolaylı zararlar ve kâr kaybı kapsam dışıdır.</t>
  </si>
  <si>
    <t>Teklif içeriği gizlidir; üçüncü kişilerle paylaşılamaz.</t>
  </si>
  <si>
    <t>Yazılım, tasarım ve benzeri fikri mülkiyet hakları, bedelin tamamı ödenene kadar teklif verende kalır.</t>
  </si>
  <si>
    <t>Taraflar arasında ayrı bir sözleşme imzalanması halinde sözleşme hükümleri önceliklidir.</t>
  </si>
  <si>
    <t>9. EKLER</t>
  </si>
  <si>
    <t>[ör. Ek-1 Teknik Şartname, Ek-2 Ürün Föyleri, Ek-3 Referans Listesi]</t>
  </si>
  <si>
    <t>MÜŞTERİ KABULÜ</t>
  </si>
  <si>
    <t>Bu teklif yukarıdaki şartlarla tarafımızca sunulmuştur.</t>
  </si>
  <si>
    <t>Yukarıdaki kapsam, fiyat ve şartları kabul ederiz.</t>
  </si>
  <si>
    <t>Ad Soyad / Unvan</t>
  </si>
  <si>
    <t>Tarih</t>
  </si>
  <si>
    <t>İmza / Kaşe</t>
  </si>
  <si>
    <t xml:space="preserve">ERŞEN KALIP VE MAKİNE SANAYİ TİC. LTD. ŞTİ. </t>
  </si>
  <si>
    <t>Organize Sanayi Bölgesi, 8. Sokak, No: 27, 38070 Melikgazi/Kayseri</t>
  </si>
  <si>
    <t>Mimarsinan V.D. / 371 041 3847</t>
  </si>
  <si>
    <t>+90 554 569 87 89 / pazarlama.ersen@gmail.com</t>
  </si>
  <si>
    <t>Abdullah CÜNDÜBEY</t>
  </si>
  <si>
    <t>Teklifin kabulü ( kaparo )</t>
  </si>
  <si>
    <t>-</t>
  </si>
  <si>
    <t>Sözleşme imzalanması</t>
  </si>
  <si>
    <t>Vade ( gün)</t>
  </si>
  <si>
    <t>Ürün sevkiyatı</t>
  </si>
  <si>
    <t>Müşteri teslimden itibaren 5 iş günü içinde yazılı itirazda bulunmazsa iş kabul edilmiş sayılır.</t>
  </si>
  <si>
    <t>Sözleşme</t>
  </si>
  <si>
    <t>Teslim</t>
  </si>
  <si>
    <t>Teslim süresi, sözleşme tahsili ve müşteriden beklenen bilgilerin eksiksiz iletilmesiyle başlar.</t>
  </si>
  <si>
    <r>
      <t xml:space="preserve">Uyuşmazlıklarda </t>
    </r>
    <r>
      <rPr>
        <b/>
        <sz val="10"/>
        <rFont val="Calibri"/>
        <family val="2"/>
        <charset val="162"/>
      </rPr>
      <t>Kayseri</t>
    </r>
    <r>
      <rPr>
        <sz val="10"/>
        <rFont val="Calibri"/>
        <charset val="1"/>
      </rPr>
      <t xml:space="preserve"> mahkemeleri ve icra daireleri yetkilidir.</t>
    </r>
  </si>
  <si>
    <t>40 iş günü</t>
  </si>
  <si>
    <t xml:space="preserve">ARA TOPLAM </t>
  </si>
  <si>
    <t>Birim Fiyat</t>
  </si>
  <si>
    <r>
      <t xml:space="preserve">EMLAK KATILIM EURO HESABI / </t>
    </r>
    <r>
      <rPr>
        <b/>
        <sz val="12"/>
        <rFont val="Calibri"/>
        <family val="2"/>
        <charset val="162"/>
      </rPr>
      <t>TR49 0021 1000 0007 4235 6001 02</t>
    </r>
  </si>
  <si>
    <t>Not</t>
  </si>
  <si>
    <r>
      <t xml:space="preserve">Teklif bedelleri EUR cinsindendir; </t>
    </r>
    <r>
      <rPr>
        <b/>
        <u/>
        <sz val="10"/>
        <rFont val="Calibri"/>
        <family val="2"/>
        <charset val="162"/>
      </rPr>
      <t>KDV hariç</t>
    </r>
    <r>
      <rPr>
        <sz val="10"/>
        <rFont val="Calibri"/>
        <charset val="1"/>
      </rPr>
      <t xml:space="preserve"> olarak belirtilir.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</si>
</sst>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#,##0.##"/>
  </numFmts>
  <fonts count="15" x14ac:knownFonts="1">
    <font>
      <sz val="11"/>
      <name val="Calibri"/>
    </font>
    <font>
      <sz val="11"/>
      <color rgb="FF000000"/>
      <name val="Calibri"/>
      <charset val="1"/>
    </font>
    <font>
      <sz val="10"/>
      <name val="Calibri"/>
      <charset val="1"/>
    </font>
    <font>
      <b/>
      <sz val="18"/>
      <color rgb="FFC9A43A"/>
      <name val="Calibri"/>
      <charset val="1"/>
    </font>
    <font>
      <b/>
      <sz val="10"/>
      <color rgb="FFFFFFFF"/>
      <name val="Calibri"/>
      <charset val="1"/>
    </font>
    <font>
      <b/>
      <sz val="10"/>
      <name val="Calibri"/>
      <charset val="1"/>
    </font>
    <font>
      <b/>
      <sz val="11"/>
      <color rgb="FF1E1E1E"/>
      <name val="Calibri"/>
      <charset val="1"/>
    </font>
    <font>
      <b/>
      <sz val="10"/>
      <color rgb="FF000000"/>
      <name val="Calibri"/>
      <charset val="1"/>
    </font>
    <font>
      <sz val="9"/>
      <color rgb="FF595959"/>
      <name val="Calibri"/>
      <charset val="1"/>
    </font>
    <font>
      <sz val="10"/>
      <name val="Calibri"/>
      <family val="2"/>
      <charset val="162"/>
    </font>
    <font>
      <b/>
      <sz val="10"/>
      <name val="Calibri"/>
      <family val="2"/>
      <charset val="162"/>
    </font>
    <font>
      <b/>
      <sz val="10"/>
      <color rgb="FFFFFFFF"/>
      <name val="Calibri"/>
      <family val="2"/>
      <charset val="162"/>
    </font>
    <font>
      <sz val="12"/>
      <name val="Calibri"/>
      <family val="2"/>
      <charset val="162"/>
    </font>
    <font>
      <b/>
      <sz val="12"/>
      <name val="Calibri"/>
      <family val="2"/>
      <charset val="162"/>
    </font>
    <font>
      <b/>
      <u/>
      <sz val="10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rgb="FF1E1E1E"/>
        <bgColor rgb="FF333300"/>
      </patternFill>
    </fill>
    <fill>
      <patternFill patternType="solid">
        <fgColor rgb="FFC9A43A"/>
        <bgColor rgb="FF969696"/>
      </patternFill>
    </fill>
    <fill>
      <patternFill patternType="solid">
        <fgColor rgb="FFF2F2F2"/>
        <bgColor rgb="FFFFF8E1"/>
      </patternFill>
    </fill>
    <fill>
      <patternFill patternType="solid">
        <fgColor rgb="FFFFF8E1"/>
        <bgColor rgb="FFF2F2F2"/>
      </patternFill>
    </fill>
    <fill>
      <patternFill patternType="solid">
        <fgColor rgb="FFF3EBCF"/>
        <bgColor rgb="FFF2F2F2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>
      <alignment vertical="center"/>
    </xf>
  </cellStyleXfs>
  <cellXfs count="56">
    <xf numFmtId="0" fontId="0" fillId="0" borderId="0" xfId="0">
      <alignment vertical="center"/>
    </xf>
    <xf numFmtId="0" fontId="2" fillId="5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65" fontId="2" fillId="5" borderId="1" xfId="0" applyNumberFormat="1" applyFont="1" applyFill="1" applyBorder="1" applyAlignment="1">
      <alignment horizontal="right" vertical="center"/>
    </xf>
    <xf numFmtId="4" fontId="2" fillId="5" borderId="1" xfId="0" applyNumberFormat="1" applyFont="1" applyFill="1" applyBorder="1" applyAlignment="1">
      <alignment horizontal="right" vertical="center"/>
    </xf>
    <xf numFmtId="4" fontId="2" fillId="0" borderId="1" xfId="0" applyNumberFormat="1" applyFont="1" applyBorder="1" applyAlignment="1">
      <alignment horizontal="right" vertical="center"/>
    </xf>
    <xf numFmtId="9" fontId="2" fillId="5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4" fontId="5" fillId="4" borderId="2" xfId="0" applyNumberFormat="1" applyFont="1" applyFill="1" applyBorder="1" applyAlignment="1">
      <alignment horizontal="right" vertical="center"/>
    </xf>
    <xf numFmtId="4" fontId="5" fillId="4" borderId="3" xfId="0" applyNumberFormat="1" applyFont="1" applyFill="1" applyBorder="1" applyAlignment="1">
      <alignment horizontal="right" vertical="center"/>
    </xf>
    <xf numFmtId="4" fontId="5" fillId="4" borderId="4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vertical="center" wrapText="1"/>
    </xf>
    <xf numFmtId="0" fontId="9" fillId="5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horizontal="left" vertical="center"/>
    </xf>
    <xf numFmtId="1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right" vertical="center"/>
    </xf>
    <xf numFmtId="0" fontId="5" fillId="4" borderId="4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164" fontId="2" fillId="5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right" vertical="center"/>
    </xf>
    <xf numFmtId="0" fontId="3" fillId="2" borderId="0" xfId="0" applyFont="1" applyFill="1" applyAlignment="1">
      <alignment horizontal="center" vertical="center"/>
    </xf>
    <xf numFmtId="4" fontId="2" fillId="0" borderId="1" xfId="0" applyNumberFormat="1" applyFont="1" applyBorder="1" applyAlignment="1">
      <alignment horizontal="right" vertical="center"/>
    </xf>
    <xf numFmtId="0" fontId="2" fillId="5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10" fillId="4" borderId="2" xfId="0" applyFont="1" applyFill="1" applyBorder="1" applyAlignment="1">
      <alignment horizontal="right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left" vertical="center"/>
    </xf>
    <xf numFmtId="0" fontId="2" fillId="5" borderId="3" xfId="0" applyFont="1" applyFill="1" applyBorder="1" applyAlignment="1">
      <alignment horizontal="left" vertical="center"/>
    </xf>
    <xf numFmtId="0" fontId="2" fillId="5" borderId="4" xfId="0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3" borderId="0" xfId="0" applyFont="1" applyFill="1" applyAlignment="1">
      <alignment vertical="center"/>
    </xf>
    <xf numFmtId="0" fontId="8" fillId="0" borderId="0" xfId="0" applyFont="1" applyAlignment="1">
      <alignment vertical="center" wrapText="1"/>
    </xf>
    <xf numFmtId="9" fontId="5" fillId="4" borderId="1" xfId="0" applyNumberFormat="1" applyFont="1" applyFill="1" applyBorder="1" applyAlignment="1">
      <alignment horizontal="center" vertical="center"/>
    </xf>
    <xf numFmtId="4" fontId="5" fillId="4" borderId="1" xfId="0" applyNumberFormat="1" applyFont="1" applyFill="1" applyBorder="1" applyAlignment="1">
      <alignment horizontal="right" vertical="center"/>
    </xf>
    <xf numFmtId="0" fontId="12" fillId="5" borderId="1" xfId="0" applyFont="1" applyFill="1" applyBorder="1" applyAlignment="1">
      <alignment vertical="center" wrapText="1"/>
    </xf>
    <xf numFmtId="0" fontId="10" fillId="5" borderId="1" xfId="0" applyFont="1" applyFill="1" applyBorder="1" applyAlignment="1">
      <alignment vertical="center" wrapText="1"/>
    </xf>
    <xf numFmtId="0" fontId="10" fillId="4" borderId="1" xfId="0" applyFont="1" applyFill="1" applyBorder="1" applyAlignment="1">
      <alignment vertical="center" wrapText="1"/>
    </xf>
    <xf numFmtId="0" fontId="13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BFBFBF"/>
      <rgbColor rgb="00808080"/>
      <rgbColor rgb="009999FF"/>
      <rgbColor rgb="00993366"/>
      <rgbColor rgb="00FFF8E1"/>
      <rgbColor rgb="00F2F2F2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3EBCF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C9A43A"/>
      <rgbColor rgb="00FF6600"/>
      <rgbColor rgb="0059595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1E1E1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www.wps.cn/officeDocument/2020/cellImage" Target="NUL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3</xdr:col>
      <xdr:colOff>1166661</xdr:colOff>
      <xdr:row>2</xdr:row>
      <xdr:rowOff>443693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11320" y="190440"/>
          <a:ext cx="2437560" cy="951840"/>
        </a:xfrm>
        <a:prstGeom prst="rect">
          <a:avLst/>
        </a:prstGeom>
        <a:noFill/>
        <a:ln w="0" cap="flat" cmpd="sng">
          <a:noFill/>
          <a:prstDash val="solid"/>
          <a:miter/>
        </a:ln>
        <a:effectLst/>
      </xdr:spPr>
    </xdr:pic>
    <xdr:clientData/>
  </xdr:twoCellAnchor>
  <xdr:twoCellAnchor editAs="oneCell">
    <xdr:from>
      <xdr:col>3</xdr:col>
      <xdr:colOff>752863</xdr:colOff>
      <xdr:row>85</xdr:row>
      <xdr:rowOff>16148</xdr:rowOff>
    </xdr:from>
    <xdr:to>
      <xdr:col>4</xdr:col>
      <xdr:colOff>141492</xdr:colOff>
      <xdr:row>85</xdr:row>
      <xdr:rowOff>864266</xdr:rowOff>
    </xdr:to>
    <xdr:pic>
      <xdr:nvPicPr>
        <xdr:cNvPr id="5" name="Resim 4">
          <a:extLst>
            <a:ext uri="{FF2B5EF4-FFF2-40B4-BE49-F238E27FC236}">
              <a16:creationId xmlns:a16="http://schemas.microsoft.com/office/drawing/2014/main" id="{C0668A7C-7147-6DA6-BEBF-E6A1E43056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21413474">
          <a:off x="2196181" y="18770313"/>
          <a:ext cx="1719452" cy="84811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L114"/>
  <sheetViews>
    <sheetView showGridLines="0" tabSelected="1" topLeftCell="A68" zoomScale="85" zoomScaleNormal="85" zoomScaleSheetLayoutView="85" zoomScalePageLayoutView="70" workbookViewId="0">
      <selection activeCell="F90" sqref="F90"/>
    </sheetView>
  </sheetViews>
  <sheetFormatPr defaultRowHeight="14.4" zeroHeight="1" x14ac:dyDescent="0.3"/>
  <cols>
    <col min="1" max="1" width="3" style="46" customWidth="1"/>
    <col min="2" max="2" width="6" style="46" customWidth="1"/>
    <col min="3" max="3" width="12" style="46" customWidth="1"/>
    <col min="4" max="4" width="34" style="46" customWidth="1"/>
    <col min="5" max="6" width="10" style="46" customWidth="1"/>
    <col min="7" max="7" width="14" style="46" customWidth="1"/>
    <col min="8" max="8" width="10" style="46" customWidth="1"/>
    <col min="9" max="9" width="16" style="46" customWidth="1"/>
    <col min="10" max="10" width="9" style="46" customWidth="1"/>
    <col min="11" max="11" width="14" style="46" customWidth="1"/>
    <col min="12" max="12" width="18" style="46" customWidth="1"/>
    <col min="13" max="16384" width="8.88671875" style="47"/>
  </cols>
  <sheetData>
    <row r="2" spans="2:12" ht="39.75" customHeight="1" x14ac:dyDescent="0.3">
      <c r="B2" s="26"/>
      <c r="C2" s="26"/>
      <c r="D2" s="26"/>
      <c r="E2" s="26"/>
      <c r="F2" s="26"/>
      <c r="G2" s="26"/>
      <c r="H2" s="29" t="s">
        <v>0</v>
      </c>
      <c r="I2" s="29"/>
      <c r="J2" s="29"/>
      <c r="K2" s="29"/>
      <c r="L2" s="29"/>
    </row>
    <row r="3" spans="2:12" ht="39.75" customHeight="1" x14ac:dyDescent="0.3">
      <c r="B3" s="26"/>
      <c r="C3" s="26"/>
      <c r="D3" s="26"/>
      <c r="E3" s="26"/>
      <c r="F3" s="26"/>
      <c r="G3" s="26"/>
      <c r="H3" s="29"/>
      <c r="I3" s="29"/>
      <c r="J3" s="29"/>
      <c r="K3" s="29"/>
      <c r="L3" s="29"/>
    </row>
    <row r="4" spans="2:12" ht="3.75" customHeight="1" x14ac:dyDescent="0.3"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</row>
    <row r="5" spans="2:12" ht="15" customHeight="1" x14ac:dyDescent="0.3">
      <c r="B5" s="18" t="s">
        <v>1</v>
      </c>
      <c r="C5" s="18"/>
      <c r="D5" s="18"/>
      <c r="E5" s="18"/>
      <c r="F5" s="18"/>
      <c r="H5" s="18" t="s">
        <v>2</v>
      </c>
      <c r="I5" s="18"/>
      <c r="J5" s="18"/>
      <c r="K5" s="18"/>
      <c r="L5" s="18"/>
    </row>
    <row r="6" spans="2:12" ht="15" customHeight="1" x14ac:dyDescent="0.3">
      <c r="B6" s="12" t="s">
        <v>3</v>
      </c>
      <c r="C6" s="12"/>
      <c r="D6" s="13" t="s">
        <v>76</v>
      </c>
      <c r="E6" s="13"/>
      <c r="F6" s="13"/>
      <c r="H6" s="12" t="s">
        <v>3</v>
      </c>
      <c r="I6" s="12"/>
      <c r="J6" s="13"/>
      <c r="K6" s="13"/>
      <c r="L6" s="13"/>
    </row>
    <row r="7" spans="2:12" x14ac:dyDescent="0.3">
      <c r="B7" s="12" t="s">
        <v>4</v>
      </c>
      <c r="C7" s="12"/>
      <c r="D7" s="13" t="s">
        <v>77</v>
      </c>
      <c r="E7" s="13"/>
      <c r="F7" s="13"/>
      <c r="H7" s="12" t="s">
        <v>4</v>
      </c>
      <c r="I7" s="12"/>
      <c r="J7" s="13"/>
      <c r="K7" s="13"/>
      <c r="L7" s="13"/>
    </row>
    <row r="8" spans="2:12" ht="15" customHeight="1" x14ac:dyDescent="0.3">
      <c r="B8" s="12" t="s">
        <v>5</v>
      </c>
      <c r="C8" s="12"/>
      <c r="D8" s="13" t="s">
        <v>78</v>
      </c>
      <c r="E8" s="13"/>
      <c r="F8" s="13"/>
      <c r="H8" s="12" t="s">
        <v>5</v>
      </c>
      <c r="I8" s="12"/>
      <c r="J8" s="13"/>
      <c r="K8" s="13"/>
      <c r="L8" s="13"/>
    </row>
    <row r="9" spans="2:12" ht="15" customHeight="1" x14ac:dyDescent="0.3">
      <c r="B9" s="12" t="s">
        <v>6</v>
      </c>
      <c r="C9" s="12"/>
      <c r="D9" s="13"/>
      <c r="E9" s="13"/>
      <c r="F9" s="13"/>
      <c r="H9" s="12" t="s">
        <v>7</v>
      </c>
      <c r="I9" s="12"/>
      <c r="J9" s="13"/>
      <c r="K9" s="13"/>
      <c r="L9" s="13"/>
    </row>
    <row r="10" spans="2:12" ht="15" customHeight="1" x14ac:dyDescent="0.3">
      <c r="B10" s="12" t="s">
        <v>8</v>
      </c>
      <c r="C10" s="12"/>
      <c r="D10" s="13" t="s">
        <v>79</v>
      </c>
      <c r="E10" s="13"/>
      <c r="F10" s="13"/>
      <c r="H10" s="12" t="s">
        <v>8</v>
      </c>
      <c r="I10" s="12"/>
      <c r="J10" s="13"/>
      <c r="K10" s="13"/>
      <c r="L10" s="13"/>
    </row>
    <row r="11" spans="2:12" ht="15" customHeight="1" x14ac:dyDescent="0.3">
      <c r="B11" s="12" t="s">
        <v>9</v>
      </c>
      <c r="C11" s="12"/>
      <c r="D11" s="13" t="s">
        <v>80</v>
      </c>
      <c r="E11" s="13"/>
      <c r="F11" s="13"/>
      <c r="H11" s="12" t="s">
        <v>10</v>
      </c>
      <c r="I11" s="12"/>
      <c r="J11" s="13"/>
      <c r="K11" s="13"/>
      <c r="L11" s="13"/>
    </row>
    <row r="12" spans="2:12" ht="15" customHeight="1" x14ac:dyDescent="0.3">
      <c r="B12" s="18" t="s">
        <v>11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</row>
    <row r="13" spans="2:12" ht="15" customHeight="1" x14ac:dyDescent="0.3">
      <c r="B13" s="12" t="s">
        <v>12</v>
      </c>
      <c r="C13" s="12"/>
      <c r="D13" s="13"/>
      <c r="E13" s="13"/>
      <c r="F13" s="13"/>
      <c r="H13" s="12" t="s">
        <v>13</v>
      </c>
      <c r="I13" s="12"/>
      <c r="J13" s="22" t="s">
        <v>14</v>
      </c>
      <c r="K13" s="22"/>
      <c r="L13" s="22"/>
    </row>
    <row r="14" spans="2:12" ht="15" customHeight="1" x14ac:dyDescent="0.3">
      <c r="B14" s="12" t="s">
        <v>15</v>
      </c>
      <c r="C14" s="12"/>
      <c r="D14" s="27"/>
      <c r="E14" s="27"/>
      <c r="F14" s="27"/>
      <c r="H14" s="12" t="s">
        <v>16</v>
      </c>
      <c r="I14" s="12"/>
      <c r="J14" s="21">
        <v>15</v>
      </c>
      <c r="K14" s="21"/>
      <c r="L14" s="21"/>
    </row>
    <row r="15" spans="2:12" ht="15" customHeight="1" x14ac:dyDescent="0.3">
      <c r="B15" s="12" t="s">
        <v>17</v>
      </c>
      <c r="C15" s="12"/>
      <c r="D15" s="27"/>
      <c r="E15" s="27"/>
      <c r="F15" s="27"/>
      <c r="H15" s="12" t="s">
        <v>18</v>
      </c>
      <c r="I15" s="12"/>
      <c r="J15" s="39" t="s">
        <v>19</v>
      </c>
      <c r="K15" s="40"/>
      <c r="L15" s="41"/>
    </row>
    <row r="16" spans="2:12" x14ac:dyDescent="0.3"/>
    <row r="17" spans="2:12" ht="19.5" customHeight="1" x14ac:dyDescent="0.3">
      <c r="B17" s="20" t="s">
        <v>20</v>
      </c>
      <c r="C17" s="20"/>
      <c r="D17" s="20"/>
      <c r="E17" s="20"/>
      <c r="F17" s="20"/>
      <c r="G17" s="20"/>
      <c r="H17" s="20"/>
      <c r="I17" s="20"/>
      <c r="J17" s="20"/>
      <c r="K17" s="20"/>
      <c r="L17" s="20"/>
    </row>
    <row r="18" spans="2:12" ht="31.5" customHeight="1" x14ac:dyDescent="0.3"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</row>
    <row r="20" spans="2:12" ht="19.5" customHeight="1" x14ac:dyDescent="0.3">
      <c r="B20" s="20" t="s">
        <v>21</v>
      </c>
      <c r="C20" s="20"/>
      <c r="D20" s="20"/>
      <c r="E20" s="20"/>
      <c r="F20" s="20"/>
      <c r="G20" s="20"/>
      <c r="H20" s="20"/>
      <c r="I20" s="20"/>
      <c r="J20" s="20"/>
      <c r="K20" s="20"/>
      <c r="L20" s="20"/>
    </row>
    <row r="21" spans="2:12" ht="33.75" customHeight="1" x14ac:dyDescent="0.3">
      <c r="B21" s="12" t="s">
        <v>22</v>
      </c>
      <c r="C21" s="12"/>
      <c r="D21" s="13" t="s">
        <v>23</v>
      </c>
      <c r="E21" s="13"/>
      <c r="F21" s="13"/>
      <c r="G21" s="13"/>
      <c r="H21" s="13"/>
      <c r="I21" s="13"/>
      <c r="J21" s="13"/>
      <c r="K21" s="13"/>
      <c r="L21" s="13"/>
    </row>
    <row r="22" spans="2:12" ht="33.75" customHeight="1" x14ac:dyDescent="0.3">
      <c r="B22" s="12" t="s">
        <v>24</v>
      </c>
      <c r="C22" s="12"/>
      <c r="D22" s="13" t="s">
        <v>25</v>
      </c>
      <c r="E22" s="13"/>
      <c r="F22" s="13"/>
      <c r="G22" s="13"/>
      <c r="H22" s="13"/>
      <c r="I22" s="13"/>
      <c r="J22" s="13"/>
      <c r="K22" s="13"/>
      <c r="L22" s="13"/>
    </row>
    <row r="23" spans="2:12" ht="33.75" customHeight="1" x14ac:dyDescent="0.3">
      <c r="B23" s="12" t="s">
        <v>26</v>
      </c>
      <c r="C23" s="12"/>
      <c r="D23" s="13" t="s">
        <v>27</v>
      </c>
      <c r="E23" s="13"/>
      <c r="F23" s="13"/>
      <c r="G23" s="13"/>
      <c r="H23" s="13"/>
      <c r="I23" s="13"/>
      <c r="J23" s="13"/>
      <c r="K23" s="13"/>
      <c r="L23" s="13"/>
    </row>
    <row r="24" spans="2:12" ht="33.75" customHeight="1" x14ac:dyDescent="0.3">
      <c r="B24" s="12" t="s">
        <v>28</v>
      </c>
      <c r="C24" s="12"/>
      <c r="D24" s="13" t="s">
        <v>29</v>
      </c>
      <c r="E24" s="13"/>
      <c r="F24" s="13"/>
      <c r="G24" s="13"/>
      <c r="H24" s="13"/>
      <c r="I24" s="13"/>
      <c r="J24" s="13"/>
      <c r="K24" s="13"/>
      <c r="L24" s="13"/>
    </row>
    <row r="26" spans="2:12" ht="19.5" customHeight="1" x14ac:dyDescent="0.3">
      <c r="B26" s="20" t="s">
        <v>30</v>
      </c>
      <c r="C26" s="20"/>
      <c r="D26" s="20"/>
      <c r="E26" s="20"/>
      <c r="F26" s="20"/>
      <c r="G26" s="20"/>
      <c r="H26" s="20"/>
      <c r="I26" s="20"/>
      <c r="J26" s="20"/>
      <c r="K26" s="20"/>
      <c r="L26" s="20"/>
    </row>
    <row r="27" spans="2:12" ht="30" customHeight="1" x14ac:dyDescent="0.3">
      <c r="B27" s="2" t="s">
        <v>31</v>
      </c>
      <c r="C27" s="45" t="s">
        <v>32</v>
      </c>
      <c r="D27" s="36" t="s">
        <v>33</v>
      </c>
      <c r="E27" s="37"/>
      <c r="F27" s="37"/>
      <c r="G27" s="37"/>
      <c r="H27" s="37"/>
      <c r="I27" s="38"/>
      <c r="J27" s="2" t="s">
        <v>34</v>
      </c>
      <c r="K27" s="45" t="s">
        <v>93</v>
      </c>
      <c r="L27" s="2" t="str">
        <f>"Tutar ("&amp;$J$15&amp;")"</f>
        <v>Tutar (EUR)</v>
      </c>
    </row>
    <row r="28" spans="2:12" ht="15" customHeight="1" x14ac:dyDescent="0.3">
      <c r="B28" s="3" t="str">
        <f t="shared" ref="B28:B42" si="0">IF(D28="","",ROW()-28)</f>
        <v/>
      </c>
      <c r="C28" s="1"/>
      <c r="D28" s="42"/>
      <c r="E28" s="43"/>
      <c r="F28" s="43"/>
      <c r="G28" s="43"/>
      <c r="H28" s="43"/>
      <c r="I28" s="44"/>
      <c r="J28" s="4"/>
      <c r="K28" s="5"/>
      <c r="L28" s="6">
        <f>K28*J28</f>
        <v>0</v>
      </c>
    </row>
    <row r="29" spans="2:12" ht="15" customHeight="1" x14ac:dyDescent="0.3">
      <c r="B29" s="3" t="str">
        <f t="shared" si="0"/>
        <v/>
      </c>
      <c r="C29" s="1"/>
      <c r="D29" s="42"/>
      <c r="E29" s="43"/>
      <c r="F29" s="43"/>
      <c r="G29" s="43"/>
      <c r="H29" s="43"/>
      <c r="I29" s="44"/>
      <c r="J29" s="4"/>
      <c r="K29" s="5"/>
      <c r="L29" s="6">
        <f t="shared" ref="L29:L42" si="1">K29*J29</f>
        <v>0</v>
      </c>
    </row>
    <row r="30" spans="2:12" ht="15" customHeight="1" x14ac:dyDescent="0.3">
      <c r="B30" s="3" t="str">
        <f t="shared" si="0"/>
        <v/>
      </c>
      <c r="C30" s="1"/>
      <c r="D30" s="42"/>
      <c r="E30" s="43"/>
      <c r="F30" s="43"/>
      <c r="G30" s="43"/>
      <c r="H30" s="43"/>
      <c r="I30" s="44"/>
      <c r="J30" s="4"/>
      <c r="K30" s="5"/>
      <c r="L30" s="6">
        <f t="shared" si="1"/>
        <v>0</v>
      </c>
    </row>
    <row r="31" spans="2:12" ht="15" customHeight="1" x14ac:dyDescent="0.3">
      <c r="B31" s="3" t="str">
        <f t="shared" si="0"/>
        <v/>
      </c>
      <c r="C31" s="1"/>
      <c r="D31" s="42"/>
      <c r="E31" s="43"/>
      <c r="F31" s="43"/>
      <c r="G31" s="43"/>
      <c r="H31" s="43"/>
      <c r="I31" s="44"/>
      <c r="J31" s="4"/>
      <c r="K31" s="5"/>
      <c r="L31" s="6">
        <f t="shared" si="1"/>
        <v>0</v>
      </c>
    </row>
    <row r="32" spans="2:12" ht="15" customHeight="1" x14ac:dyDescent="0.3">
      <c r="B32" s="3" t="str">
        <f t="shared" si="0"/>
        <v/>
      </c>
      <c r="C32" s="1"/>
      <c r="D32" s="42"/>
      <c r="E32" s="43"/>
      <c r="F32" s="43"/>
      <c r="G32" s="43"/>
      <c r="H32" s="43"/>
      <c r="I32" s="44"/>
      <c r="J32" s="4"/>
      <c r="K32" s="5"/>
      <c r="L32" s="6">
        <f t="shared" si="1"/>
        <v>0</v>
      </c>
    </row>
    <row r="33" spans="2:12" ht="15" customHeight="1" x14ac:dyDescent="0.3">
      <c r="B33" s="3" t="str">
        <f t="shared" si="0"/>
        <v/>
      </c>
      <c r="C33" s="1"/>
      <c r="D33" s="42"/>
      <c r="E33" s="43"/>
      <c r="F33" s="43"/>
      <c r="G33" s="43"/>
      <c r="H33" s="43"/>
      <c r="I33" s="44"/>
      <c r="J33" s="4"/>
      <c r="K33" s="5"/>
      <c r="L33" s="6">
        <f t="shared" si="1"/>
        <v>0</v>
      </c>
    </row>
    <row r="34" spans="2:12" ht="15" customHeight="1" x14ac:dyDescent="0.3">
      <c r="B34" s="3" t="str">
        <f t="shared" si="0"/>
        <v/>
      </c>
      <c r="C34" s="1"/>
      <c r="D34" s="42"/>
      <c r="E34" s="43"/>
      <c r="F34" s="43"/>
      <c r="G34" s="43"/>
      <c r="H34" s="43"/>
      <c r="I34" s="44"/>
      <c r="J34" s="4"/>
      <c r="K34" s="5"/>
      <c r="L34" s="6">
        <f t="shared" si="1"/>
        <v>0</v>
      </c>
    </row>
    <row r="35" spans="2:12" ht="15" customHeight="1" x14ac:dyDescent="0.3">
      <c r="B35" s="3" t="str">
        <f t="shared" si="0"/>
        <v/>
      </c>
      <c r="C35" s="1"/>
      <c r="D35" s="42"/>
      <c r="E35" s="43"/>
      <c r="F35" s="43"/>
      <c r="G35" s="43"/>
      <c r="H35" s="43"/>
      <c r="I35" s="44"/>
      <c r="J35" s="4"/>
      <c r="K35" s="5"/>
      <c r="L35" s="6">
        <f t="shared" si="1"/>
        <v>0</v>
      </c>
    </row>
    <row r="36" spans="2:12" ht="15" customHeight="1" x14ac:dyDescent="0.3">
      <c r="B36" s="3" t="str">
        <f t="shared" si="0"/>
        <v/>
      </c>
      <c r="C36" s="1"/>
      <c r="D36" s="42"/>
      <c r="E36" s="43"/>
      <c r="F36" s="43"/>
      <c r="G36" s="43"/>
      <c r="H36" s="43"/>
      <c r="I36" s="44"/>
      <c r="J36" s="4"/>
      <c r="K36" s="5"/>
      <c r="L36" s="6">
        <f t="shared" si="1"/>
        <v>0</v>
      </c>
    </row>
    <row r="37" spans="2:12" ht="15" customHeight="1" x14ac:dyDescent="0.3">
      <c r="B37" s="3" t="str">
        <f t="shared" si="0"/>
        <v/>
      </c>
      <c r="C37" s="1"/>
      <c r="D37" s="42"/>
      <c r="E37" s="43"/>
      <c r="F37" s="43"/>
      <c r="G37" s="43"/>
      <c r="H37" s="43"/>
      <c r="I37" s="44"/>
      <c r="J37" s="4"/>
      <c r="K37" s="5"/>
      <c r="L37" s="6">
        <f t="shared" si="1"/>
        <v>0</v>
      </c>
    </row>
    <row r="38" spans="2:12" ht="15" customHeight="1" x14ac:dyDescent="0.3">
      <c r="B38" s="3" t="str">
        <f t="shared" si="0"/>
        <v/>
      </c>
      <c r="C38" s="1"/>
      <c r="D38" s="42"/>
      <c r="E38" s="43"/>
      <c r="F38" s="43"/>
      <c r="G38" s="43"/>
      <c r="H38" s="43"/>
      <c r="I38" s="44"/>
      <c r="J38" s="4"/>
      <c r="K38" s="5"/>
      <c r="L38" s="6">
        <f t="shared" si="1"/>
        <v>0</v>
      </c>
    </row>
    <row r="39" spans="2:12" ht="15" customHeight="1" x14ac:dyDescent="0.3">
      <c r="B39" s="3" t="str">
        <f t="shared" si="0"/>
        <v/>
      </c>
      <c r="C39" s="1"/>
      <c r="D39" s="42"/>
      <c r="E39" s="43"/>
      <c r="F39" s="43"/>
      <c r="G39" s="43"/>
      <c r="H39" s="43"/>
      <c r="I39" s="44"/>
      <c r="J39" s="4"/>
      <c r="K39" s="5"/>
      <c r="L39" s="6">
        <f t="shared" si="1"/>
        <v>0</v>
      </c>
    </row>
    <row r="40" spans="2:12" ht="15" customHeight="1" x14ac:dyDescent="0.3">
      <c r="B40" s="3" t="str">
        <f t="shared" si="0"/>
        <v/>
      </c>
      <c r="C40" s="1"/>
      <c r="D40" s="42"/>
      <c r="E40" s="43"/>
      <c r="F40" s="43"/>
      <c r="G40" s="43"/>
      <c r="H40" s="43"/>
      <c r="I40" s="44"/>
      <c r="J40" s="4"/>
      <c r="K40" s="5"/>
      <c r="L40" s="6">
        <f>K40*J40</f>
        <v>0</v>
      </c>
    </row>
    <row r="41" spans="2:12" ht="15" customHeight="1" x14ac:dyDescent="0.3">
      <c r="B41" s="3" t="str">
        <f t="shared" si="0"/>
        <v/>
      </c>
      <c r="C41" s="1"/>
      <c r="D41" s="42"/>
      <c r="E41" s="43"/>
      <c r="F41" s="43"/>
      <c r="G41" s="43"/>
      <c r="H41" s="43"/>
      <c r="I41" s="44"/>
      <c r="J41" s="4"/>
      <c r="K41" s="5"/>
      <c r="L41" s="6">
        <f t="shared" si="1"/>
        <v>0</v>
      </c>
    </row>
    <row r="42" spans="2:12" ht="15" customHeight="1" x14ac:dyDescent="0.3">
      <c r="B42" s="3" t="str">
        <f t="shared" si="0"/>
        <v/>
      </c>
      <c r="C42" s="1"/>
      <c r="D42" s="42"/>
      <c r="E42" s="43"/>
      <c r="F42" s="43"/>
      <c r="G42" s="43"/>
      <c r="H42" s="43"/>
      <c r="I42" s="44"/>
      <c r="J42" s="4"/>
      <c r="K42" s="5"/>
      <c r="L42" s="6">
        <f t="shared" si="1"/>
        <v>0</v>
      </c>
    </row>
    <row r="43" spans="2:12" x14ac:dyDescent="0.3">
      <c r="B43" s="35" t="s">
        <v>92</v>
      </c>
      <c r="C43" s="23"/>
      <c r="D43" s="23"/>
      <c r="E43" s="23"/>
      <c r="F43" s="23"/>
      <c r="G43" s="23"/>
      <c r="H43" s="24"/>
      <c r="I43" s="14">
        <f>SUM(L28:L42)</f>
        <v>0</v>
      </c>
      <c r="J43" s="15"/>
      <c r="K43" s="15"/>
      <c r="L43" s="16"/>
    </row>
    <row r="44" spans="2:12" ht="15" customHeight="1" x14ac:dyDescent="0.3">
      <c r="B44" s="28" t="s">
        <v>36</v>
      </c>
      <c r="C44" s="28"/>
      <c r="D44" s="28"/>
      <c r="E44" s="28"/>
      <c r="F44" s="28"/>
      <c r="G44" s="28"/>
      <c r="H44" s="28"/>
      <c r="I44" s="14">
        <f>ara_toplam*20/100</f>
        <v>0</v>
      </c>
      <c r="J44" s="15"/>
      <c r="K44" s="15"/>
      <c r="L44" s="16"/>
    </row>
    <row r="45" spans="2:12" ht="15" customHeight="1" x14ac:dyDescent="0.3">
      <c r="B45" s="32" t="s">
        <v>37</v>
      </c>
      <c r="C45" s="32"/>
      <c r="D45" s="32"/>
      <c r="E45" s="32"/>
      <c r="F45" s="32"/>
      <c r="G45" s="32"/>
      <c r="H45" s="32"/>
      <c r="I45" s="14">
        <f>ara_toplam+kdv_toplam</f>
        <v>0</v>
      </c>
      <c r="J45" s="15"/>
      <c r="K45" s="15"/>
      <c r="L45" s="16"/>
    </row>
    <row r="46" spans="2:12" ht="30" customHeight="1" x14ac:dyDescent="0.3">
      <c r="B46" s="28" t="s">
        <v>38</v>
      </c>
      <c r="C46" s="28"/>
      <c r="D46" s="28"/>
      <c r="E46" s="28"/>
      <c r="F46" s="28"/>
      <c r="G46" s="28"/>
      <c r="H46" s="28"/>
      <c r="I46" s="31" t="s">
        <v>39</v>
      </c>
      <c r="J46" s="31"/>
      <c r="K46" s="31"/>
      <c r="L46" s="31"/>
    </row>
    <row r="47" spans="2:12" ht="6.6" customHeight="1" x14ac:dyDescent="0.3">
      <c r="B47" s="49"/>
      <c r="C47" s="49"/>
      <c r="D47" s="49"/>
      <c r="E47" s="49"/>
      <c r="F47" s="49"/>
      <c r="G47" s="49"/>
      <c r="H47" s="49"/>
      <c r="I47" s="49"/>
      <c r="J47" s="49"/>
      <c r="K47" s="49"/>
      <c r="L47" s="49"/>
    </row>
    <row r="48" spans="2:12" ht="19.5" customHeight="1" x14ac:dyDescent="0.3">
      <c r="B48" s="20" t="s">
        <v>40</v>
      </c>
      <c r="C48" s="20"/>
      <c r="D48" s="20"/>
      <c r="E48" s="20"/>
      <c r="F48" s="20"/>
      <c r="G48" s="20"/>
      <c r="H48" s="20"/>
      <c r="I48" s="20"/>
      <c r="J48" s="20"/>
      <c r="K48" s="20"/>
      <c r="L48" s="20"/>
    </row>
    <row r="49" spans="2:12" ht="15" customHeight="1" x14ac:dyDescent="0.3">
      <c r="B49" s="12" t="s">
        <v>41</v>
      </c>
      <c r="C49" s="12"/>
      <c r="D49" s="13" t="s">
        <v>42</v>
      </c>
      <c r="E49" s="13"/>
      <c r="F49" s="13"/>
      <c r="G49" s="13"/>
      <c r="H49" s="13"/>
      <c r="I49" s="13"/>
      <c r="J49" s="13"/>
      <c r="K49" s="13"/>
      <c r="L49" s="13"/>
    </row>
    <row r="50" spans="2:12" ht="15" customHeight="1" x14ac:dyDescent="0.3">
      <c r="B50" s="12" t="s">
        <v>43</v>
      </c>
      <c r="C50" s="12"/>
      <c r="D50" s="19" t="s">
        <v>91</v>
      </c>
      <c r="E50" s="13"/>
      <c r="F50" s="13"/>
      <c r="G50" s="13"/>
      <c r="H50" s="13"/>
      <c r="I50" s="13"/>
      <c r="J50" s="13"/>
      <c r="K50" s="13"/>
      <c r="L50" s="13"/>
    </row>
    <row r="51" spans="2:12" ht="15" customHeight="1" x14ac:dyDescent="0.3">
      <c r="B51" s="12" t="s">
        <v>44</v>
      </c>
      <c r="C51" s="12"/>
      <c r="D51" s="13">
        <f>J7</f>
        <v>0</v>
      </c>
      <c r="E51" s="13"/>
      <c r="F51" s="13"/>
      <c r="G51" s="13"/>
      <c r="H51" s="13"/>
      <c r="I51" s="13"/>
      <c r="J51" s="13"/>
      <c r="K51" s="13"/>
      <c r="L51" s="13"/>
    </row>
    <row r="53" spans="2:12" ht="19.5" customHeight="1" x14ac:dyDescent="0.3">
      <c r="B53" s="20" t="s">
        <v>45</v>
      </c>
      <c r="C53" s="20"/>
      <c r="D53" s="20"/>
      <c r="E53" s="20"/>
      <c r="F53" s="20"/>
      <c r="G53" s="20"/>
      <c r="H53" s="20"/>
      <c r="I53" s="20"/>
      <c r="J53" s="20"/>
      <c r="K53" s="20"/>
      <c r="L53" s="20"/>
    </row>
    <row r="54" spans="2:12" ht="30" customHeight="1" x14ac:dyDescent="0.3">
      <c r="B54" s="25" t="s">
        <v>46</v>
      </c>
      <c r="C54" s="25"/>
      <c r="D54" s="25"/>
      <c r="E54" s="8" t="s">
        <v>47</v>
      </c>
      <c r="F54" s="25" t="str">
        <f>"Tutar ("&amp;$J$15&amp;")"</f>
        <v>Tutar (EUR)</v>
      </c>
      <c r="G54" s="25"/>
      <c r="H54" s="25" t="s">
        <v>48</v>
      </c>
      <c r="I54" s="25"/>
      <c r="J54" s="25"/>
      <c r="K54" s="25" t="s">
        <v>84</v>
      </c>
      <c r="L54" s="25"/>
    </row>
    <row r="55" spans="2:12" ht="15" customHeight="1" x14ac:dyDescent="0.3">
      <c r="B55" s="13" t="s">
        <v>49</v>
      </c>
      <c r="C55" s="13"/>
      <c r="D55" s="13"/>
      <c r="E55" s="7">
        <v>0.1</v>
      </c>
      <c r="F55" s="30">
        <f>IF(ara_toplam="","",ROUND(ara_toplam*E55,2))</f>
        <v>0</v>
      </c>
      <c r="G55" s="30"/>
      <c r="H55" s="13" t="s">
        <v>81</v>
      </c>
      <c r="I55" s="13"/>
      <c r="J55" s="13"/>
      <c r="K55" s="21" t="s">
        <v>82</v>
      </c>
      <c r="L55" s="21"/>
    </row>
    <row r="56" spans="2:12" ht="15" customHeight="1" x14ac:dyDescent="0.3">
      <c r="B56" s="19" t="s">
        <v>87</v>
      </c>
      <c r="C56" s="13"/>
      <c r="D56" s="13"/>
      <c r="E56" s="7">
        <v>0.4</v>
      </c>
      <c r="F56" s="30">
        <f>IF(ara_toplam="","",ROUND(ara_toplam*E56,2))</f>
        <v>0</v>
      </c>
      <c r="G56" s="30"/>
      <c r="H56" s="13" t="s">
        <v>83</v>
      </c>
      <c r="I56" s="13"/>
      <c r="J56" s="13"/>
      <c r="K56" s="21">
        <v>10</v>
      </c>
      <c r="L56" s="21"/>
    </row>
    <row r="57" spans="2:12" ht="15" customHeight="1" x14ac:dyDescent="0.3">
      <c r="B57" s="19" t="s">
        <v>88</v>
      </c>
      <c r="C57" s="13"/>
      <c r="D57" s="13"/>
      <c r="E57" s="7">
        <v>0.5</v>
      </c>
      <c r="F57" s="30">
        <f>IF(ara_toplam="","",ROUND(ara_toplam*E57,2))</f>
        <v>0</v>
      </c>
      <c r="G57" s="30"/>
      <c r="H57" s="13" t="s">
        <v>85</v>
      </c>
      <c r="I57" s="13"/>
      <c r="J57" s="13"/>
      <c r="K57" s="21">
        <v>30</v>
      </c>
      <c r="L57" s="21"/>
    </row>
    <row r="58" spans="2:12" ht="15" customHeight="1" x14ac:dyDescent="0.3">
      <c r="B58" s="17" t="s">
        <v>35</v>
      </c>
      <c r="C58" s="17"/>
      <c r="D58" s="17"/>
      <c r="E58" s="50">
        <f>SUM(E55:E57)</f>
        <v>1</v>
      </c>
      <c r="F58" s="51">
        <f>SUM(F55:F57)</f>
        <v>0</v>
      </c>
      <c r="G58" s="51"/>
      <c r="H58" s="34" t="str">
        <f>IF(ROUND(E58,4)=1,"Ödeme planı toplamı %100 - uygun","UYARI: Ödeme oranlarının toplamı %100 olmalıdır")</f>
        <v>Ödeme planı toplamı %100 - uygun</v>
      </c>
      <c r="I58" s="34"/>
      <c r="J58" s="34"/>
      <c r="K58" s="34"/>
      <c r="L58" s="34"/>
    </row>
    <row r="59" spans="2:12" ht="15" customHeight="1" x14ac:dyDescent="0.3">
      <c r="B59" s="12" t="s">
        <v>50</v>
      </c>
      <c r="C59" s="12"/>
      <c r="D59" s="53" t="s">
        <v>51</v>
      </c>
      <c r="E59" s="53"/>
      <c r="F59" s="53"/>
      <c r="G59" s="53"/>
      <c r="H59" s="53"/>
      <c r="I59" s="53"/>
      <c r="J59" s="53"/>
      <c r="K59" s="53"/>
      <c r="L59" s="53"/>
    </row>
    <row r="60" spans="2:12" ht="25.2" customHeight="1" x14ac:dyDescent="0.3">
      <c r="B60" s="12" t="s">
        <v>52</v>
      </c>
      <c r="C60" s="12"/>
      <c r="D60" s="52" t="s">
        <v>94</v>
      </c>
      <c r="E60" s="52"/>
      <c r="F60" s="52"/>
      <c r="G60" s="52"/>
      <c r="H60" s="52"/>
      <c r="I60" s="52"/>
      <c r="J60" s="52"/>
      <c r="K60" s="52"/>
      <c r="L60" s="52"/>
    </row>
    <row r="61" spans="2:12" ht="28.8" customHeight="1" x14ac:dyDescent="0.3">
      <c r="B61" s="12" t="s">
        <v>53</v>
      </c>
      <c r="C61" s="12"/>
      <c r="D61" s="13" t="s">
        <v>54</v>
      </c>
      <c r="E61" s="13"/>
      <c r="F61" s="13"/>
      <c r="G61" s="13"/>
      <c r="H61" s="13"/>
      <c r="I61" s="13"/>
      <c r="J61" s="13"/>
      <c r="K61" s="13"/>
      <c r="L61" s="13"/>
    </row>
    <row r="62" spans="2:12" ht="16.8" customHeight="1" x14ac:dyDescent="0.3">
      <c r="B62" s="12" t="s">
        <v>18</v>
      </c>
      <c r="C62" s="12"/>
      <c r="D62" s="19" t="s">
        <v>96</v>
      </c>
      <c r="E62" s="13"/>
      <c r="F62" s="13"/>
      <c r="G62" s="13"/>
      <c r="H62" s="13"/>
      <c r="I62" s="13"/>
      <c r="J62" s="13"/>
      <c r="K62" s="13"/>
      <c r="L62" s="13"/>
    </row>
    <row r="63" spans="2:12" ht="23.4" customHeight="1" x14ac:dyDescent="0.3">
      <c r="B63" s="54" t="s">
        <v>95</v>
      </c>
      <c r="C63" s="12"/>
      <c r="D63" s="55" t="s">
        <v>55</v>
      </c>
      <c r="E63" s="55"/>
      <c r="F63" s="55"/>
      <c r="G63" s="55"/>
      <c r="H63" s="55"/>
      <c r="I63" s="55"/>
      <c r="J63" s="55"/>
      <c r="K63" s="55"/>
      <c r="L63" s="55"/>
    </row>
    <row r="64" spans="2:12" ht="19.5" customHeight="1" x14ac:dyDescent="0.3">
      <c r="B64" s="20" t="s">
        <v>56</v>
      </c>
      <c r="C64" s="20"/>
      <c r="D64" s="20"/>
      <c r="E64" s="20"/>
      <c r="F64" s="20"/>
      <c r="G64" s="20"/>
      <c r="H64" s="20"/>
      <c r="I64" s="20"/>
      <c r="J64" s="20"/>
      <c r="K64" s="20"/>
      <c r="L64" s="20"/>
    </row>
    <row r="65" spans="2:12" ht="30" customHeight="1" x14ac:dyDescent="0.3">
      <c r="B65" s="12" t="s">
        <v>57</v>
      </c>
      <c r="C65" s="12"/>
      <c r="D65" s="19" t="s">
        <v>58</v>
      </c>
      <c r="E65" s="13"/>
      <c r="F65" s="13"/>
      <c r="G65" s="13"/>
      <c r="H65" s="13"/>
      <c r="I65" s="13"/>
      <c r="J65" s="13"/>
      <c r="K65" s="13"/>
      <c r="L65" s="13"/>
    </row>
    <row r="66" spans="2:12" ht="30" customHeight="1" x14ac:dyDescent="0.3">
      <c r="B66" s="12" t="s">
        <v>59</v>
      </c>
      <c r="C66" s="12"/>
      <c r="D66" s="19" t="s">
        <v>86</v>
      </c>
      <c r="E66" s="13"/>
      <c r="F66" s="13"/>
      <c r="G66" s="13"/>
      <c r="H66" s="13"/>
      <c r="I66" s="13"/>
      <c r="J66" s="13"/>
      <c r="K66" s="13"/>
      <c r="L66" s="13"/>
    </row>
    <row r="68" spans="2:12" ht="19.5" customHeight="1" x14ac:dyDescent="0.3">
      <c r="B68" s="20" t="s">
        <v>60</v>
      </c>
      <c r="C68" s="20"/>
      <c r="D68" s="20"/>
      <c r="E68" s="20"/>
      <c r="F68" s="20"/>
      <c r="G68" s="20"/>
      <c r="H68" s="20"/>
      <c r="I68" s="20"/>
      <c r="J68" s="20"/>
      <c r="K68" s="20"/>
      <c r="L68" s="20"/>
    </row>
    <row r="69" spans="2:12" ht="18" customHeight="1" x14ac:dyDescent="0.3">
      <c r="B69" s="9">
        <v>1</v>
      </c>
      <c r="C69" s="13" t="s">
        <v>61</v>
      </c>
      <c r="D69" s="13"/>
      <c r="E69" s="13"/>
      <c r="F69" s="13"/>
      <c r="G69" s="13"/>
      <c r="H69" s="13"/>
      <c r="I69" s="13"/>
      <c r="J69" s="13"/>
      <c r="K69" s="13"/>
      <c r="L69" s="13"/>
    </row>
    <row r="70" spans="2:12" ht="21" customHeight="1" x14ac:dyDescent="0.3">
      <c r="B70" s="9">
        <v>2</v>
      </c>
      <c r="C70" s="13" t="s">
        <v>62</v>
      </c>
      <c r="D70" s="13"/>
      <c r="E70" s="13"/>
      <c r="F70" s="13"/>
      <c r="G70" s="13"/>
      <c r="H70" s="13"/>
      <c r="I70" s="13"/>
      <c r="J70" s="13"/>
      <c r="K70" s="13"/>
      <c r="L70" s="13"/>
    </row>
    <row r="71" spans="2:12" ht="18" customHeight="1" x14ac:dyDescent="0.3">
      <c r="B71" s="9">
        <v>3</v>
      </c>
      <c r="C71" s="19" t="s">
        <v>89</v>
      </c>
      <c r="D71" s="13"/>
      <c r="E71" s="13"/>
      <c r="F71" s="13"/>
      <c r="G71" s="13"/>
      <c r="H71" s="13"/>
      <c r="I71" s="13"/>
      <c r="J71" s="13"/>
      <c r="K71" s="13"/>
      <c r="L71" s="13"/>
    </row>
    <row r="72" spans="2:12" ht="23.4" customHeight="1" x14ac:dyDescent="0.3">
      <c r="B72" s="9">
        <v>4</v>
      </c>
      <c r="C72" s="13" t="s">
        <v>63</v>
      </c>
      <c r="D72" s="13"/>
      <c r="E72" s="13"/>
      <c r="F72" s="13"/>
      <c r="G72" s="13"/>
      <c r="H72" s="13"/>
      <c r="I72" s="13"/>
      <c r="J72" s="13"/>
      <c r="K72" s="13"/>
      <c r="L72" s="13"/>
    </row>
    <row r="73" spans="2:12" ht="18" customHeight="1" x14ac:dyDescent="0.3">
      <c r="B73" s="9">
        <v>5</v>
      </c>
      <c r="C73" s="13" t="s">
        <v>64</v>
      </c>
      <c r="D73" s="13"/>
      <c r="E73" s="13"/>
      <c r="F73" s="13"/>
      <c r="G73" s="13"/>
      <c r="H73" s="13"/>
      <c r="I73" s="13"/>
      <c r="J73" s="13"/>
      <c r="K73" s="13"/>
      <c r="L73" s="13"/>
    </row>
    <row r="74" spans="2:12" ht="18" customHeight="1" x14ac:dyDescent="0.3">
      <c r="B74" s="9">
        <v>6</v>
      </c>
      <c r="C74" s="13" t="s">
        <v>65</v>
      </c>
      <c r="D74" s="13"/>
      <c r="E74" s="13"/>
      <c r="F74" s="13"/>
      <c r="G74" s="13"/>
      <c r="H74" s="13"/>
      <c r="I74" s="13"/>
      <c r="J74" s="13"/>
      <c r="K74" s="13"/>
      <c r="L74" s="13"/>
    </row>
    <row r="75" spans="2:12" ht="18" customHeight="1" x14ac:dyDescent="0.3">
      <c r="B75" s="9">
        <v>7</v>
      </c>
      <c r="C75" s="13" t="s">
        <v>66</v>
      </c>
      <c r="D75" s="13"/>
      <c r="E75" s="13"/>
      <c r="F75" s="13"/>
      <c r="G75" s="13"/>
      <c r="H75" s="13"/>
      <c r="I75" s="13"/>
      <c r="J75" s="13"/>
      <c r="K75" s="13"/>
      <c r="L75" s="13"/>
    </row>
    <row r="76" spans="2:12" ht="18" customHeight="1" x14ac:dyDescent="0.3">
      <c r="B76" s="9">
        <v>8</v>
      </c>
      <c r="C76" s="13" t="s">
        <v>67</v>
      </c>
      <c r="D76" s="13"/>
      <c r="E76" s="13"/>
      <c r="F76" s="13"/>
      <c r="G76" s="13"/>
      <c r="H76" s="13"/>
      <c r="I76" s="13"/>
      <c r="J76" s="13"/>
      <c r="K76" s="13"/>
      <c r="L76" s="13"/>
    </row>
    <row r="77" spans="2:12" ht="18" customHeight="1" x14ac:dyDescent="0.3">
      <c r="B77" s="9">
        <v>9</v>
      </c>
      <c r="C77" s="19" t="s">
        <v>90</v>
      </c>
      <c r="D77" s="13"/>
      <c r="E77" s="13"/>
      <c r="F77" s="13"/>
      <c r="G77" s="13"/>
      <c r="H77" s="13"/>
      <c r="I77" s="13"/>
      <c r="J77" s="13"/>
      <c r="K77" s="13"/>
      <c r="L77" s="13"/>
    </row>
    <row r="78" spans="2:12" x14ac:dyDescent="0.3"/>
    <row r="79" spans="2:12" ht="19.5" customHeight="1" x14ac:dyDescent="0.3">
      <c r="B79" s="20" t="s">
        <v>68</v>
      </c>
      <c r="C79" s="20"/>
      <c r="D79" s="20"/>
      <c r="E79" s="20"/>
      <c r="F79" s="20"/>
      <c r="G79" s="20"/>
      <c r="H79" s="20"/>
      <c r="I79" s="20"/>
      <c r="J79" s="20"/>
      <c r="K79" s="20"/>
      <c r="L79" s="20"/>
    </row>
    <row r="80" spans="2:12" ht="15" customHeight="1" x14ac:dyDescent="0.3">
      <c r="B80" s="13" t="s">
        <v>69</v>
      </c>
      <c r="C80" s="13"/>
      <c r="D80" s="13"/>
      <c r="E80" s="13"/>
      <c r="F80" s="13"/>
      <c r="G80" s="13"/>
      <c r="H80" s="13"/>
      <c r="I80" s="13"/>
      <c r="J80" s="13"/>
      <c r="K80" s="13"/>
      <c r="L80" s="13"/>
    </row>
    <row r="82" spans="2:12" ht="15" customHeight="1" x14ac:dyDescent="0.3">
      <c r="B82" s="10" t="s">
        <v>1</v>
      </c>
      <c r="C82" s="10"/>
      <c r="D82" s="10"/>
      <c r="E82" s="10"/>
      <c r="F82" s="10"/>
      <c r="H82" s="10" t="s">
        <v>70</v>
      </c>
      <c r="I82" s="10"/>
      <c r="J82" s="10"/>
      <c r="K82" s="10"/>
      <c r="L82" s="10"/>
    </row>
    <row r="83" spans="2:12" ht="15" customHeight="1" x14ac:dyDescent="0.3">
      <c r="B83" s="11" t="s">
        <v>71</v>
      </c>
      <c r="C83" s="11"/>
      <c r="D83" s="11"/>
      <c r="E83" s="11"/>
      <c r="F83" s="11"/>
      <c r="H83" s="11" t="s">
        <v>72</v>
      </c>
      <c r="I83" s="11"/>
      <c r="J83" s="11"/>
      <c r="K83" s="11"/>
      <c r="L83" s="11"/>
    </row>
    <row r="84" spans="2:12" ht="15" customHeight="1" x14ac:dyDescent="0.3">
      <c r="B84" s="12" t="s">
        <v>73</v>
      </c>
      <c r="C84" s="12"/>
      <c r="D84" s="13" t="str">
        <f>D11</f>
        <v>Abdullah CÜNDÜBEY</v>
      </c>
      <c r="E84" s="13"/>
      <c r="F84" s="13"/>
      <c r="H84" s="12" t="s">
        <v>73</v>
      </c>
      <c r="I84" s="12"/>
      <c r="J84" s="13">
        <f>musteri_unvani</f>
        <v>0</v>
      </c>
      <c r="K84" s="13"/>
      <c r="L84" s="13"/>
    </row>
    <row r="85" spans="2:12" ht="15" customHeight="1" x14ac:dyDescent="0.3">
      <c r="B85" s="12" t="s">
        <v>74</v>
      </c>
      <c r="C85" s="12"/>
      <c r="D85" s="13">
        <f>teklif_tarihi</f>
        <v>0</v>
      </c>
      <c r="E85" s="13"/>
      <c r="F85" s="13"/>
      <c r="H85" s="12" t="s">
        <v>74</v>
      </c>
      <c r="I85" s="12"/>
      <c r="J85" s="13"/>
      <c r="K85" s="13"/>
      <c r="L85" s="13"/>
    </row>
    <row r="86" spans="2:12" ht="78" customHeight="1" x14ac:dyDescent="0.3">
      <c r="B86" s="12" t="s">
        <v>75</v>
      </c>
      <c r="C86" s="12"/>
      <c r="D86" s="13"/>
      <c r="E86" s="13"/>
      <c r="F86" s="13"/>
      <c r="H86" s="12" t="s">
        <v>75</v>
      </c>
      <c r="I86" s="12"/>
      <c r="J86" s="13"/>
      <c r="K86" s="13"/>
      <c r="L86" s="13"/>
    </row>
    <row r="88" spans="2:12" ht="15" customHeight="1" x14ac:dyDescent="0.3"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</row>
    <row r="89" spans="2:12" x14ac:dyDescent="0.3"/>
    <row r="90" spans="2:12" x14ac:dyDescent="0.3"/>
    <row r="91" spans="2:12" x14ac:dyDescent="0.3"/>
    <row r="92" spans="2:12" x14ac:dyDescent="0.3"/>
    <row r="93" spans="2:12" x14ac:dyDescent="0.3"/>
    <row r="95" spans="2:12" x14ac:dyDescent="0.3"/>
    <row r="96" spans="2:12" x14ac:dyDescent="0.3"/>
    <row r="98" x14ac:dyDescent="0.3"/>
    <row r="99" x14ac:dyDescent="0.3"/>
    <row r="100" x14ac:dyDescent="0.3"/>
    <row r="101" x14ac:dyDescent="0.3"/>
    <row r="102" x14ac:dyDescent="0.3"/>
    <row r="103" x14ac:dyDescent="0.3"/>
    <row r="104" x14ac:dyDescent="0.3"/>
    <row r="105" x14ac:dyDescent="0.3"/>
    <row r="106" x14ac:dyDescent="0.3"/>
    <row r="109" x14ac:dyDescent="0.3"/>
    <row r="110" x14ac:dyDescent="0.3"/>
    <row r="111" x14ac:dyDescent="0.3"/>
    <row r="112" x14ac:dyDescent="0.3"/>
    <row r="113" x14ac:dyDescent="0.3"/>
    <row r="114" x14ac:dyDescent="0.3"/>
  </sheetData>
  <mergeCells count="149">
    <mergeCell ref="D37:I37"/>
    <mergeCell ref="D38:I38"/>
    <mergeCell ref="D39:I39"/>
    <mergeCell ref="D40:I40"/>
    <mergeCell ref="D41:I41"/>
    <mergeCell ref="D42:I42"/>
    <mergeCell ref="B63:C63"/>
    <mergeCell ref="D63:L63"/>
    <mergeCell ref="B88:L88"/>
    <mergeCell ref="B45:H45"/>
    <mergeCell ref="H84:I84"/>
    <mergeCell ref="D86:F86"/>
    <mergeCell ref="H86:I86"/>
    <mergeCell ref="B82:F82"/>
    <mergeCell ref="B83:F83"/>
    <mergeCell ref="B85:C85"/>
    <mergeCell ref="D84:F84"/>
    <mergeCell ref="B86:C86"/>
    <mergeCell ref="J86:L86"/>
    <mergeCell ref="B62:C62"/>
    <mergeCell ref="D49:L49"/>
    <mergeCell ref="H54:J54"/>
    <mergeCell ref="I45:L45"/>
    <mergeCell ref="H58:L58"/>
    <mergeCell ref="H5:L5"/>
    <mergeCell ref="D51:L51"/>
    <mergeCell ref="B5:F5"/>
    <mergeCell ref="B22:C22"/>
    <mergeCell ref="J6:L6"/>
    <mergeCell ref="B7:C7"/>
    <mergeCell ref="D7:F7"/>
    <mergeCell ref="H6:I6"/>
    <mergeCell ref="D6:F6"/>
    <mergeCell ref="B9:C9"/>
    <mergeCell ref="B10:C10"/>
    <mergeCell ref="I44:L44"/>
    <mergeCell ref="D27:I27"/>
    <mergeCell ref="D28:I28"/>
    <mergeCell ref="D29:I29"/>
    <mergeCell ref="D30:I30"/>
    <mergeCell ref="D31:I31"/>
    <mergeCell ref="D32:I32"/>
    <mergeCell ref="D33:I33"/>
    <mergeCell ref="D34:I34"/>
    <mergeCell ref="D35:I35"/>
    <mergeCell ref="D36:I36"/>
    <mergeCell ref="F54:G54"/>
    <mergeCell ref="B53:L53"/>
    <mergeCell ref="K57:L57"/>
    <mergeCell ref="C72:L72"/>
    <mergeCell ref="B6:C6"/>
    <mergeCell ref="H14:I14"/>
    <mergeCell ref="H57:J57"/>
    <mergeCell ref="B24:C24"/>
    <mergeCell ref="J15:L15"/>
    <mergeCell ref="H13:I13"/>
    <mergeCell ref="J11:L11"/>
    <mergeCell ref="B13:C13"/>
    <mergeCell ref="D10:F10"/>
    <mergeCell ref="H8:I8"/>
    <mergeCell ref="J7:L7"/>
    <mergeCell ref="H7:I7"/>
    <mergeCell ref="D11:F11"/>
    <mergeCell ref="J9:L9"/>
    <mergeCell ref="B11:C11"/>
    <mergeCell ref="B20:L20"/>
    <mergeCell ref="B56:D56"/>
    <mergeCell ref="I46:L46"/>
    <mergeCell ref="F55:G55"/>
    <mergeCell ref="B2:G3"/>
    <mergeCell ref="D15:F15"/>
    <mergeCell ref="B23:C23"/>
    <mergeCell ref="C76:L76"/>
    <mergeCell ref="B8:C8"/>
    <mergeCell ref="H15:I15"/>
    <mergeCell ref="H2:L3"/>
    <mergeCell ref="J8:L8"/>
    <mergeCell ref="H9:I9"/>
    <mergeCell ref="C75:L75"/>
    <mergeCell ref="C69:L69"/>
    <mergeCell ref="B44:H44"/>
    <mergeCell ref="B46:H46"/>
    <mergeCell ref="F56:G56"/>
    <mergeCell ref="B68:L68"/>
    <mergeCell ref="H56:J56"/>
    <mergeCell ref="H55:J55"/>
    <mergeCell ref="D62:L62"/>
    <mergeCell ref="D13:F13"/>
    <mergeCell ref="B47:L47"/>
    <mergeCell ref="K54:L54"/>
    <mergeCell ref="B57:D57"/>
    <mergeCell ref="D8:F8"/>
    <mergeCell ref="D9:F9"/>
    <mergeCell ref="D24:L24"/>
    <mergeCell ref="B17:L17"/>
    <mergeCell ref="D22:L22"/>
    <mergeCell ref="J13:L13"/>
    <mergeCell ref="B14:C14"/>
    <mergeCell ref="J14:L14"/>
    <mergeCell ref="D23:L23"/>
    <mergeCell ref="D21:L21"/>
    <mergeCell ref="D14:F14"/>
    <mergeCell ref="B18:L18"/>
    <mergeCell ref="B21:C21"/>
    <mergeCell ref="J10:L10"/>
    <mergeCell ref="B12:L12"/>
    <mergeCell ref="H10:I10"/>
    <mergeCell ref="H11:I11"/>
    <mergeCell ref="D65:L65"/>
    <mergeCell ref="C70:L70"/>
    <mergeCell ref="C71:L71"/>
    <mergeCell ref="D61:L61"/>
    <mergeCell ref="C73:L73"/>
    <mergeCell ref="B64:L64"/>
    <mergeCell ref="D66:L66"/>
    <mergeCell ref="D59:L59"/>
    <mergeCell ref="B48:L48"/>
    <mergeCell ref="K56:L56"/>
    <mergeCell ref="D50:L50"/>
    <mergeCell ref="B43:H43"/>
    <mergeCell ref="B26:L26"/>
    <mergeCell ref="B59:C59"/>
    <mergeCell ref="B54:D54"/>
    <mergeCell ref="B51:C51"/>
    <mergeCell ref="B55:D55"/>
    <mergeCell ref="B66:C66"/>
    <mergeCell ref="B50:C50"/>
    <mergeCell ref="B65:C65"/>
    <mergeCell ref="H82:L82"/>
    <mergeCell ref="H83:L83"/>
    <mergeCell ref="B15:C15"/>
    <mergeCell ref="J84:L84"/>
    <mergeCell ref="I43:L43"/>
    <mergeCell ref="H85:I85"/>
    <mergeCell ref="F58:G58"/>
    <mergeCell ref="B58:D58"/>
    <mergeCell ref="J85:L85"/>
    <mergeCell ref="C74:L74"/>
    <mergeCell ref="B79:L79"/>
    <mergeCell ref="B80:L80"/>
    <mergeCell ref="B84:C84"/>
    <mergeCell ref="D85:F85"/>
    <mergeCell ref="B60:C60"/>
    <mergeCell ref="B61:C61"/>
    <mergeCell ref="C77:L77"/>
    <mergeCell ref="K55:L55"/>
    <mergeCell ref="D60:L60"/>
    <mergeCell ref="B49:C49"/>
    <mergeCell ref="F57:G57"/>
  </mergeCells>
  <dataValidations disablePrompts="1" count="1">
    <dataValidation type="decimal" operator="greaterThanOrEqual" allowBlank="1" sqref="J28:K42" xr:uid="{00000000-0002-0000-0000-000003000000}">
      <formula1>0</formula1>
      <formula2>0</formula2>
    </dataValidation>
  </dataValidations>
  <pageMargins left="0.4" right="0.4" top="1" bottom="1" header="0.511811023622047" footer="0.511811023622047"/>
  <pageSetup paperSize="9" scale="62" fitToHeight="0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xr:uid="{00000000-0002-0000-0000-000005000000}">
          <x14:formula1>
            <xm:f>#REF!</xm:f>
          </x14:formula1>
          <x14:formula2>
            <xm:f>0</xm:f>
          </x14:formula2>
          <xm:sqref>J15</xm:sqref>
        </x14:dataValidation>
        <x14:dataValidation type="whole" errorStyle="warning" allowBlank="1" showErrorMessage="1" errorTitle="Vade uyarısı" error="TTK m.1530: Sözleşmeli ödeme vadesi kural olarak 60 günü aşmamalıdır. Devam etmek istiyor musunuz?" xr:uid="{00000000-0002-0000-0000-000009000000}">
          <x14:formula1>
            <xm:f>0</xm:f>
          </x14:formula1>
          <x14:formula2>
            <xm:f>#REF!</xm:f>
          </x14:formula2>
          <xm:sqref>K55:K57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20</vt:i4>
      </vt:variant>
    </vt:vector>
  </HeadingPairs>
  <TitlesOfParts>
    <vt:vector size="21" baseType="lpstr">
      <vt:lpstr>Teklif</vt:lpstr>
      <vt:lpstr>ara_toplam</vt:lpstr>
      <vt:lpstr>BirimFiyat</vt:lpstr>
      <vt:lpstr>gecerlilik_tarihi</vt:lpstr>
      <vt:lpstr>genel_toplam</vt:lpstr>
      <vt:lpstr>GenelToplamYazi</vt:lpstr>
      <vt:lpstr>kdv_toplam</vt:lpstr>
      <vt:lpstr>Miktar</vt:lpstr>
      <vt:lpstr>Model</vt:lpstr>
      <vt:lpstr>musteri_adresi</vt:lpstr>
      <vt:lpstr>musteri_ilgili_kisi</vt:lpstr>
      <vt:lpstr>musteri_telefon</vt:lpstr>
      <vt:lpstr>musteri_unvani</vt:lpstr>
      <vt:lpstr>para_birimi</vt:lpstr>
      <vt:lpstr>RevizyonNo</vt:lpstr>
      <vt:lpstr>teklif_no</vt:lpstr>
      <vt:lpstr>teklif_notlari</vt:lpstr>
      <vt:lpstr>teklif_tarihi</vt:lpstr>
      <vt:lpstr>Urunler</vt:lpstr>
      <vt:lpstr>UrunNo</vt:lpstr>
      <vt:lpstr>Teklif!Yazdırma_Alanı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abdullah cündübey</cp:lastModifiedBy>
  <cp:lastPrinted>2026-10-29T13:56:11Z</cp:lastPrinted>
  <dcterms:created xsi:type="dcterms:W3CDTF">2026-10-25T08:21:42Z</dcterms:created>
  <dcterms:modified xsi:type="dcterms:W3CDTF">2026-10-29T14:02:34Z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8ff398ad6f154c2d908af70f90ddadc0</vt:lpwstr>
  </property>
</Properties>
</file>